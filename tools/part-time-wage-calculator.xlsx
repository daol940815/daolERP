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급여계산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<sst xmlns="http://schemas.openxmlformats.org/spreadsheetml/2006/main" count="44" uniqueCount="43">
  <si>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아르바이트 급여 계산기</t>
  </si>
  <si>
    <r>
      <rPr>
        <sz val="9"/>
        <color rgb="FF808080"/>
        <rFont val="WenQuanYi Zen Hei"/>
        <family val="2"/>
      </rPr>
      <t xml:space="preserve">노란색 칸만 입력하세요</t>
    </r>
    <r>
      <rPr>
        <sz val="9"/>
        <color rgb="FF808080"/>
        <rFont val="Malgun Gothic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나머지는 자동 계산됩니다</t>
    </r>
    <r>
      <rPr>
        <sz val="9"/>
        <color rgb="FF808080"/>
        <rFont val="Malgun Gothic"/>
        <family val="0"/>
        <charset val="1"/>
      </rPr>
      <t xml:space="preserve">. (</t>
    </r>
    <r>
      <rPr>
        <sz val="9"/>
        <color rgb="FF808080"/>
        <rFont val="WenQuanYi Zen Hei"/>
        <family val="2"/>
      </rPr>
      <t xml:space="preserve">파란 글씨 </t>
    </r>
    <r>
      <rPr>
        <sz val="9"/>
        <color rgb="FF808080"/>
        <rFont val="Malgun Gothic"/>
        <family val="0"/>
        <charset val="1"/>
      </rPr>
      <t xml:space="preserve">= </t>
    </r>
    <r>
      <rPr>
        <sz val="9"/>
        <color rgb="FF808080"/>
        <rFont val="WenQuanYi Zen Hei"/>
        <family val="2"/>
      </rPr>
      <t xml:space="preserve">입력값</t>
    </r>
    <r>
      <rPr>
        <sz val="9"/>
        <color rgb="FF808080"/>
        <rFont val="Malgun Gothic"/>
        <family val="0"/>
        <charset val="1"/>
      </rPr>
      <t xml:space="preserve">, </t>
    </r>
    <r>
      <rPr>
        <sz val="9"/>
        <color rgb="FF808080"/>
        <rFont val="WenQuanYi Zen Hei"/>
        <family val="2"/>
      </rPr>
      <t xml:space="preserve">검은 글씨 </t>
    </r>
    <r>
      <rPr>
        <sz val="9"/>
        <color rgb="FF808080"/>
        <rFont val="Malgun Gothic"/>
        <family val="0"/>
        <charset val="1"/>
      </rPr>
      <t xml:space="preserve">= </t>
    </r>
    <r>
      <rPr>
        <sz val="9"/>
        <color rgb="FF808080"/>
        <rFont val="WenQuanYi Zen Hei"/>
        <family val="2"/>
      </rPr>
      <t xml:space="preserve">수식</t>
    </r>
    <r>
      <rPr>
        <sz val="9"/>
        <color rgb="FF808080"/>
        <rFont val="Malgun Gothic"/>
        <family val="0"/>
        <charset val="1"/>
      </rPr>
      <t xml:space="preserve">)</t>
    </r>
  </si>
  <si>
    <t xml:space="preserve">연도</t>
  </si>
  <si>
    <r>
      <rPr>
        <sz val="9"/>
        <color rgb="FF808080"/>
        <rFont val="WenQuanYi Zen Hei"/>
        <family val="2"/>
      </rPr>
      <t xml:space="preserve">예</t>
    </r>
    <r>
      <rPr>
        <sz val="9"/>
        <color rgb="FF808080"/>
        <rFont val="Malgun Gothic"/>
        <family val="0"/>
        <charset val="1"/>
      </rPr>
      <t xml:space="preserve">: 2026</t>
    </r>
  </si>
  <si>
    <t xml:space="preserve">월</t>
  </si>
  <si>
    <t xml:space="preserve">1~12</t>
  </si>
  <si>
    <r>
      <rPr>
        <b val="true"/>
        <sz val="10"/>
        <rFont val="WenQuanYi Zen Hei"/>
        <family val="2"/>
      </rPr>
      <t xml:space="preserve">시급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Malgun Gothic"/>
        <family val="0"/>
        <charset val="1"/>
      </rPr>
      <t xml:space="preserve">)</t>
    </r>
  </si>
  <si>
    <r>
      <rPr>
        <sz val="9"/>
        <color rgb="FF808080"/>
        <rFont val="Malgun Gothic"/>
        <family val="0"/>
        <charset val="1"/>
      </rPr>
      <t xml:space="preserve">2026</t>
    </r>
    <r>
      <rPr>
        <sz val="9"/>
        <color rgb="FF808080"/>
        <rFont val="WenQuanYi Zen Hei"/>
        <family val="2"/>
      </rPr>
      <t xml:space="preserve">년 최저시급 </t>
    </r>
    <r>
      <rPr>
        <sz val="9"/>
        <color rgb="FF808080"/>
        <rFont val="Malgun Gothic"/>
        <family val="0"/>
        <charset val="1"/>
      </rPr>
      <t xml:space="preserve">10,320</t>
    </r>
    <r>
      <rPr>
        <sz val="9"/>
        <color rgb="FF808080"/>
        <rFont val="WenQuanYi Zen Hei"/>
        <family val="2"/>
      </rPr>
      <t xml:space="preserve">원 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최저임금위원회 고시</t>
    </r>
    <r>
      <rPr>
        <sz val="9"/>
        <color rgb="FF808080"/>
        <rFont val="Malgun Gothic"/>
        <family val="0"/>
        <charset val="1"/>
      </rPr>
      <t xml:space="preserve">)</t>
    </r>
  </si>
  <si>
    <t xml:space="preserve">야간수당 적용</t>
  </si>
  <si>
    <t xml:space="preserve">아니오</t>
  </si>
  <si>
    <r>
      <rPr>
        <sz val="9"/>
        <color rgb="FF808080"/>
        <rFont val="WenQuanYi Zen Hei"/>
        <family val="2"/>
      </rPr>
      <t xml:space="preserve">상시 </t>
    </r>
    <r>
      <rPr>
        <sz val="9"/>
        <color rgb="FF808080"/>
        <rFont val="Malgun Gothic"/>
        <family val="0"/>
        <charset val="1"/>
      </rPr>
      <t xml:space="preserve">5</t>
    </r>
    <r>
      <rPr>
        <sz val="9"/>
        <color rgb="FF808080"/>
        <rFont val="WenQuanYi Zen Hei"/>
        <family val="2"/>
      </rPr>
      <t xml:space="preserve">인 이상 사업장만 야간</t>
    </r>
    <r>
      <rPr>
        <sz val="9"/>
        <color rgb="FF808080"/>
        <rFont val="Malgun Gothic"/>
        <family val="0"/>
        <charset val="1"/>
      </rPr>
      <t xml:space="preserve">(22~06</t>
    </r>
    <r>
      <rPr>
        <sz val="9"/>
        <color rgb="FF808080"/>
        <rFont val="WenQuanYi Zen Hei"/>
        <family val="2"/>
      </rPr>
      <t xml:space="preserve">시</t>
    </r>
    <r>
      <rPr>
        <sz val="9"/>
        <color rgb="FF808080"/>
        <rFont val="Malgun Gothic"/>
        <family val="0"/>
        <charset val="1"/>
      </rPr>
      <t xml:space="preserve">) 50% </t>
    </r>
    <r>
      <rPr>
        <sz val="9"/>
        <color rgb="FF808080"/>
        <rFont val="WenQuanYi Zen Hei"/>
        <family val="2"/>
      </rPr>
      <t xml:space="preserve">가산 의무</t>
    </r>
  </si>
  <si>
    <t xml:space="preserve">세금 공제</t>
  </si>
  <si>
    <r>
      <rPr>
        <sz val="10"/>
        <color rgb="FF0000FF"/>
        <rFont val="WenQuanYi Zen Hei"/>
        <family val="2"/>
      </rPr>
      <t xml:space="preserve">소득세 </t>
    </r>
    <r>
      <rPr>
        <sz val="10"/>
        <color rgb="FF0000FF"/>
        <rFont val="Malgun Gothic"/>
        <family val="0"/>
        <charset val="1"/>
      </rPr>
      <t xml:space="preserve">3.3%</t>
    </r>
  </si>
  <si>
    <r>
      <rPr>
        <sz val="9"/>
        <color rgb="FF808080"/>
        <rFont val="WenQuanYi Zen Hei"/>
        <family val="2"/>
      </rPr>
      <t xml:space="preserve">없음 </t>
    </r>
    <r>
      <rPr>
        <sz val="9"/>
        <color rgb="FF808080"/>
        <rFont val="Malgun Gothic"/>
        <family val="0"/>
        <charset val="1"/>
      </rPr>
      <t xml:space="preserve">/ </t>
    </r>
    <r>
      <rPr>
        <sz val="9"/>
        <color rgb="FF808080"/>
        <rFont val="WenQuanYi Zen Hei"/>
        <family val="2"/>
      </rPr>
      <t xml:space="preserve">소득세 </t>
    </r>
    <r>
      <rPr>
        <sz val="9"/>
        <color rgb="FF808080"/>
        <rFont val="Malgun Gothic"/>
        <family val="0"/>
        <charset val="1"/>
      </rPr>
      <t xml:space="preserve">3.3% / 4</t>
    </r>
    <r>
      <rPr>
        <sz val="9"/>
        <color rgb="FF808080"/>
        <rFont val="WenQuanYi Zen Hei"/>
        <family val="2"/>
      </rPr>
      <t xml:space="preserve">대보험 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약 </t>
    </r>
    <r>
      <rPr>
        <sz val="9"/>
        <color rgb="FF808080"/>
        <rFont val="Malgun Gothic"/>
        <family val="0"/>
        <charset val="1"/>
      </rPr>
      <t xml:space="preserve">9.4%) </t>
    </r>
    <r>
      <rPr>
        <sz val="9"/>
        <color rgb="FF808080"/>
        <rFont val="WenQuanYi Zen Hei"/>
        <family val="2"/>
      </rPr>
      <t xml:space="preserve">중 선택</t>
    </r>
  </si>
  <si>
    <r>
      <rPr>
        <b val="true"/>
        <sz val="10"/>
        <rFont val="WenQuanYi Zen Hei"/>
        <family val="2"/>
      </rPr>
      <t xml:space="preserve">주별 요약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주휴수당</t>
    </r>
    <r>
      <rPr>
        <b val="true"/>
        <sz val="10"/>
        <rFont val="Malgun Gothic"/>
        <family val="0"/>
        <charset val="1"/>
      </rPr>
      <t xml:space="preserve">)</t>
    </r>
  </si>
  <si>
    <t xml:space="preserve">날짜</t>
  </si>
  <si>
    <t xml:space="preserve">요일</t>
  </si>
  <si>
    <t xml:space="preserve">출근</t>
  </si>
  <si>
    <t xml:space="preserve">퇴근</t>
  </si>
  <si>
    <r>
      <rPr>
        <b val="true"/>
        <sz val="10"/>
        <color rgb="FFFFFFFF"/>
        <rFont val="WenQuanYi Zen Hei"/>
        <family val="2"/>
      </rPr>
      <t xml:space="preserve">휴게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</si>
  <si>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야간근무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시간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</si>
  <si>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근무시간</t>
  </si>
  <si>
    <r>
      <rPr>
        <b val="true"/>
        <sz val="10"/>
        <color rgb="FFFFFFFF"/>
        <rFont val="WenQuanYi Zen Hei"/>
        <family val="2"/>
      </rPr>
      <t xml:space="preserve">일급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</si>
  <si>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주차</t>
  </si>
  <si>
    <t xml:space="preserve">주간 근무시간</t>
  </si>
  <si>
    <r>
      <rPr>
        <b val="true"/>
        <sz val="10"/>
        <color rgb="FFFFFFFF"/>
        <rFont val="WenQuanYi Zen Hei"/>
        <family val="2"/>
      </rPr>
      <t xml:space="preserve">주휴수당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</si>
  <si>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급여 요약</t>
  </si>
  <si>
    <t xml:space="preserve">총 근무시간</t>
  </si>
  <si>
    <t xml:space="preserve">기본급</t>
  </si>
  <si>
    <t xml:space="preserve">주휴수당 합계</t>
  </si>
  <si>
    <t xml:space="preserve">세전 급여</t>
  </si>
  <si>
    <t xml:space="preserve">공제율</t>
  </si>
  <si>
    <t xml:space="preserve">공제액</t>
  </si>
  <si>
    <r>
      <rPr>
        <b val="true"/>
        <sz val="11"/>
        <rFont val="WenQuanYi Zen Hei"/>
        <family val="2"/>
      </rPr>
      <t xml:space="preserve">실수령액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예상</t>
    </r>
    <r>
      <rPr>
        <b val="true"/>
        <sz val="11"/>
        <rFont val="Malgun Gothic"/>
        <family val="0"/>
        <charset val="1"/>
      </rPr>
      <t xml:space="preserve">)</t>
    </r>
  </si>
  <si>
    <r>
      <rPr>
        <b val="true"/>
        <sz val="10"/>
        <rFont val="Malgun Gothic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참고 사항</t>
    </r>
    <r>
      <rPr>
        <b val="true"/>
        <sz val="10"/>
        <rFont val="Malgun Gothic"/>
        <family val="0"/>
        <charset val="1"/>
      </rPr>
      <t xml:space="preserve">]</t>
    </r>
  </si>
  <si>
    <r>
      <rPr>
        <sz val="9"/>
        <color rgb="FF808080"/>
        <rFont val="Malgun Gothic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예시 데이터</t>
    </r>
    <r>
      <rPr>
        <sz val="9"/>
        <color rgb="FF808080"/>
        <rFont val="Malgun Gothic"/>
        <family val="0"/>
        <charset val="1"/>
      </rPr>
      <t xml:space="preserve">: 7</t>
    </r>
    <r>
      <rPr>
        <sz val="9"/>
        <color rgb="FF808080"/>
        <rFont val="WenQuanYi Zen Hei"/>
        <family val="2"/>
      </rPr>
      <t xml:space="preserve">월 </t>
    </r>
    <r>
      <rPr>
        <sz val="9"/>
        <color rgb="FF808080"/>
        <rFont val="Malgun Gothic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일</t>
    </r>
    <r>
      <rPr>
        <sz val="9"/>
        <color rgb="FF808080"/>
        <rFont val="Malgun Gothic"/>
        <family val="0"/>
        <charset val="1"/>
      </rPr>
      <t xml:space="preserve">·2</t>
    </r>
    <r>
      <rPr>
        <sz val="9"/>
        <color rgb="FF808080"/>
        <rFont val="WenQuanYi Zen Hei"/>
        <family val="2"/>
      </rPr>
      <t xml:space="preserve">일</t>
    </r>
    <r>
      <rPr>
        <sz val="9"/>
        <color rgb="FF808080"/>
        <rFont val="Malgun Gothic"/>
        <family val="0"/>
        <charset val="1"/>
      </rPr>
      <t xml:space="preserve">·4</t>
    </r>
    <r>
      <rPr>
        <sz val="9"/>
        <color rgb="FF808080"/>
        <rFont val="WenQuanYi Zen Hei"/>
        <family val="2"/>
      </rPr>
      <t xml:space="preserve">일 행은 예시입니다</t>
    </r>
    <r>
      <rPr>
        <sz val="9"/>
        <color rgb="FF808080"/>
        <rFont val="Malgun Gothic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지우고 실제 근무시간을 입력하세요</t>
    </r>
    <r>
      <rPr>
        <sz val="9"/>
        <color rgb="FF808080"/>
        <rFont val="Malgun Gothic"/>
        <family val="0"/>
        <charset val="1"/>
      </rPr>
      <t xml:space="preserve">.</t>
    </r>
  </si>
  <si>
    <r>
      <rPr>
        <sz val="9"/>
        <color rgb="FF808080"/>
        <rFont val="Malgun Gothic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시급</t>
    </r>
    <r>
      <rPr>
        <sz val="9"/>
        <color rgb="FF808080"/>
        <rFont val="Malgun Gothic"/>
        <family val="0"/>
        <charset val="1"/>
      </rPr>
      <t xml:space="preserve">: 2026</t>
    </r>
    <r>
      <rPr>
        <sz val="9"/>
        <color rgb="FF808080"/>
        <rFont val="WenQuanYi Zen Hei"/>
        <family val="2"/>
      </rPr>
      <t xml:space="preserve">년 최저시급 </t>
    </r>
    <r>
      <rPr>
        <sz val="9"/>
        <color rgb="FF808080"/>
        <rFont val="Malgun Gothic"/>
        <family val="0"/>
        <charset val="1"/>
      </rPr>
      <t xml:space="preserve">10,320</t>
    </r>
    <r>
      <rPr>
        <sz val="9"/>
        <color rgb="FF808080"/>
        <rFont val="WenQuanYi Zen Hei"/>
        <family val="2"/>
      </rPr>
      <t xml:space="preserve">원 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최저임금위원회 고시</t>
    </r>
    <r>
      <rPr>
        <sz val="9"/>
        <color rgb="FF808080"/>
        <rFont val="Malgun Gothic"/>
        <family val="0"/>
        <charset val="1"/>
      </rPr>
      <t xml:space="preserve">). </t>
    </r>
    <r>
      <rPr>
        <sz val="9"/>
        <color rgb="FF808080"/>
        <rFont val="WenQuanYi Zen Hei"/>
        <family val="2"/>
      </rPr>
      <t xml:space="preserve">실제 계약 시급으로 변경 가능</t>
    </r>
    <r>
      <rPr>
        <sz val="9"/>
        <color rgb="FF808080"/>
        <rFont val="Malgun Gothic"/>
        <family val="0"/>
        <charset val="1"/>
      </rPr>
      <t xml:space="preserve">.</t>
    </r>
  </si>
  <si>
    <r>
      <rPr>
        <sz val="9"/>
        <color rgb="FF808080"/>
        <rFont val="Malgun Gothic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주휴수당</t>
    </r>
    <r>
      <rPr>
        <sz val="9"/>
        <color rgb="FF808080"/>
        <rFont val="Malgun Gothic"/>
        <family val="0"/>
        <charset val="1"/>
      </rPr>
      <t xml:space="preserve">: 1</t>
    </r>
    <r>
      <rPr>
        <sz val="9"/>
        <color rgb="FF808080"/>
        <rFont val="WenQuanYi Zen Hei"/>
        <family val="2"/>
      </rPr>
      <t xml:space="preserve">주 소정근로시간 </t>
    </r>
    <r>
      <rPr>
        <sz val="9"/>
        <color rgb="FF808080"/>
        <rFont val="Malgun Gothic"/>
        <family val="0"/>
        <charset val="1"/>
      </rPr>
      <t xml:space="preserve">15</t>
    </r>
    <r>
      <rPr>
        <sz val="9"/>
        <color rgb="FF808080"/>
        <rFont val="WenQuanYi Zen Hei"/>
        <family val="2"/>
      </rPr>
      <t xml:space="preserve">시간 이상이고 소정근로일을 개근한 주에 지급</t>
    </r>
    <r>
      <rPr>
        <sz val="9"/>
        <color rgb="FF808080"/>
        <rFont val="Malgun Gothic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계산식 </t>
    </r>
    <r>
      <rPr>
        <sz val="9"/>
        <color rgb="FF808080"/>
        <rFont val="Malgun Gothic"/>
        <family val="0"/>
        <charset val="1"/>
      </rPr>
      <t xml:space="preserve">= (</t>
    </r>
    <r>
      <rPr>
        <sz val="9"/>
        <color rgb="FF808080"/>
        <rFont val="WenQuanYi Zen Hei"/>
        <family val="2"/>
      </rPr>
      <t xml:space="preserve">주 근무시간</t>
    </r>
    <r>
      <rPr>
        <sz val="9"/>
        <color rgb="FF808080"/>
        <rFont val="Malgun Gothic"/>
        <family val="0"/>
        <charset val="1"/>
      </rPr>
      <t xml:space="preserve">/40)×8×</t>
    </r>
    <r>
      <rPr>
        <sz val="9"/>
        <color rgb="FF808080"/>
        <rFont val="WenQuanYi Zen Hei"/>
        <family val="2"/>
      </rPr>
      <t xml:space="preserve">시급</t>
    </r>
    <r>
      <rPr>
        <sz val="9"/>
        <color rgb="FF808080"/>
        <rFont val="Malgun Gothic"/>
        <family val="0"/>
        <charset val="1"/>
      </rPr>
      <t xml:space="preserve">, </t>
    </r>
    <r>
      <rPr>
        <sz val="9"/>
        <color rgb="FF808080"/>
        <rFont val="WenQuanYi Zen Hei"/>
        <family val="2"/>
      </rPr>
      <t xml:space="preserve">주 </t>
    </r>
    <r>
      <rPr>
        <sz val="9"/>
        <color rgb="FF808080"/>
        <rFont val="Malgun Gothic"/>
        <family val="0"/>
        <charset val="1"/>
      </rPr>
      <t xml:space="preserve">40</t>
    </r>
    <r>
      <rPr>
        <sz val="9"/>
        <color rgb="FF808080"/>
        <rFont val="WenQuanYi Zen Hei"/>
        <family val="2"/>
      </rPr>
      <t xml:space="preserve">시간 상한</t>
    </r>
    <r>
      <rPr>
        <sz val="9"/>
        <color rgb="FF808080"/>
        <rFont val="Malgun Gothic"/>
        <family val="0"/>
        <charset val="1"/>
      </rPr>
      <t xml:space="preserve">.</t>
    </r>
  </si>
  <si>
    <r>
      <rPr>
        <sz val="9"/>
        <color rgb="FF808080"/>
        <rFont val="WenQuanYi Zen Hei"/>
        <family val="2"/>
      </rPr>
      <t xml:space="preserve">  ※ 이 표는 해당 월에 입력된 시간만 주 단위로 집계하므로</t>
    </r>
    <r>
      <rPr>
        <sz val="9"/>
        <color rgb="FF808080"/>
        <rFont val="Malgun Gothic"/>
        <family val="0"/>
        <charset val="1"/>
      </rPr>
      <t xml:space="preserve">, </t>
    </r>
    <r>
      <rPr>
        <sz val="9"/>
        <color rgb="FF808080"/>
        <rFont val="WenQuanYi Zen Hei"/>
        <family val="2"/>
      </rPr>
      <t xml:space="preserve">월 경계에 걸친 주는 실제와 다를 수 있음</t>
    </r>
    <r>
      <rPr>
        <sz val="9"/>
        <color rgb="FF808080"/>
        <rFont val="Malgun Gothic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개근 여부는 별도 확인 필요</t>
    </r>
    <r>
      <rPr>
        <sz val="9"/>
        <color rgb="FF808080"/>
        <rFont val="Malgun Gothic"/>
        <family val="0"/>
        <charset val="1"/>
      </rPr>
      <t xml:space="preserve">.</t>
    </r>
  </si>
  <si>
    <r>
      <rPr>
        <sz val="9"/>
        <color rgb="FF808080"/>
        <rFont val="Malgun Gothic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야간수당</t>
    </r>
    <r>
      <rPr>
        <sz val="9"/>
        <color rgb="FF808080"/>
        <rFont val="Malgun Gothic"/>
        <family val="0"/>
        <charset val="1"/>
      </rPr>
      <t xml:space="preserve">: 22:00~06:00 </t>
    </r>
    <r>
      <rPr>
        <sz val="9"/>
        <color rgb="FF808080"/>
        <rFont val="WenQuanYi Zen Hei"/>
        <family val="2"/>
      </rPr>
      <t xml:space="preserve">근무 시 시급의 </t>
    </r>
    <r>
      <rPr>
        <sz val="9"/>
        <color rgb="FF808080"/>
        <rFont val="Malgun Gothic"/>
        <family val="0"/>
        <charset val="1"/>
      </rPr>
      <t xml:space="preserve">50% </t>
    </r>
    <r>
      <rPr>
        <sz val="9"/>
        <color rgb="FF808080"/>
        <rFont val="WenQuanYi Zen Hei"/>
        <family val="2"/>
      </rPr>
      <t xml:space="preserve">가산</t>
    </r>
    <r>
      <rPr>
        <sz val="9"/>
        <color rgb="FF808080"/>
        <rFont val="Malgun Gothic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상시 </t>
    </r>
    <r>
      <rPr>
        <sz val="9"/>
        <color rgb="FF808080"/>
        <rFont val="Malgun Gothic"/>
        <family val="0"/>
        <charset val="1"/>
      </rPr>
      <t xml:space="preserve">5</t>
    </r>
    <r>
      <rPr>
        <sz val="9"/>
        <color rgb="FF808080"/>
        <rFont val="WenQuanYi Zen Hei"/>
        <family val="2"/>
      </rPr>
      <t xml:space="preserve">인 이상 사업장만 의무 적용</t>
    </r>
    <r>
      <rPr>
        <sz val="9"/>
        <color rgb="FF808080"/>
        <rFont val="Malgun Gothic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해당 시간을 </t>
    </r>
    <r>
      <rPr>
        <sz val="9"/>
        <color rgb="FF808080"/>
        <rFont val="Malgun Gothic"/>
        <family val="0"/>
        <charset val="1"/>
      </rPr>
      <t xml:space="preserve">'</t>
    </r>
    <r>
      <rPr>
        <sz val="9"/>
        <color rgb="FF808080"/>
        <rFont val="WenQuanYi Zen Hei"/>
        <family val="2"/>
      </rPr>
      <t xml:space="preserve">야간근무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시간</t>
    </r>
    <r>
      <rPr>
        <sz val="9"/>
        <color rgb="FF808080"/>
        <rFont val="Malgun Gothic"/>
        <family val="0"/>
        <charset val="1"/>
      </rPr>
      <t xml:space="preserve">)' </t>
    </r>
    <r>
      <rPr>
        <sz val="9"/>
        <color rgb="FF808080"/>
        <rFont val="WenQuanYi Zen Hei"/>
        <family val="2"/>
      </rPr>
      <t xml:space="preserve">칸에 직접 입력</t>
    </r>
    <r>
      <rPr>
        <sz val="9"/>
        <color rgb="FF808080"/>
        <rFont val="Malgun Gothic"/>
        <family val="0"/>
        <charset val="1"/>
      </rPr>
      <t xml:space="preserve">.</t>
    </r>
  </si>
  <si>
    <r>
      <rPr>
        <sz val="9"/>
        <color rgb="FF808080"/>
        <rFont val="Malgun Gothic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세금 공제 — 소득세 </t>
    </r>
    <r>
      <rPr>
        <sz val="9"/>
        <color rgb="FF808080"/>
        <rFont val="Malgun Gothic"/>
        <family val="0"/>
        <charset val="1"/>
      </rPr>
      <t xml:space="preserve">3.3%: </t>
    </r>
    <r>
      <rPr>
        <sz val="9"/>
        <color rgb="FF808080"/>
        <rFont val="WenQuanYi Zen Hei"/>
        <family val="2"/>
      </rPr>
      <t xml:space="preserve">사업소득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프리랜서</t>
    </r>
    <r>
      <rPr>
        <sz val="9"/>
        <color rgb="FF808080"/>
        <rFont val="Malgun Gothic"/>
        <family val="0"/>
        <charset val="1"/>
      </rPr>
      <t xml:space="preserve">) </t>
    </r>
    <r>
      <rPr>
        <sz val="9"/>
        <color rgb="FF808080"/>
        <rFont val="WenQuanYi Zen Hei"/>
        <family val="2"/>
      </rPr>
      <t xml:space="preserve">원천징수 기준</t>
    </r>
    <r>
      <rPr>
        <sz val="9"/>
        <color rgb="FF808080"/>
        <rFont val="Malgun Gothic"/>
        <family val="0"/>
        <charset val="1"/>
      </rPr>
      <t xml:space="preserve">.</t>
    </r>
  </si>
  <si>
    <r>
      <rPr>
        <sz val="9"/>
        <color rgb="FF808080"/>
        <rFont val="Malgun Gothic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세금 공제 — </t>
    </r>
    <r>
      <rPr>
        <sz val="9"/>
        <color rgb="FF808080"/>
        <rFont val="Malgun Gothic"/>
        <family val="0"/>
        <charset val="1"/>
      </rPr>
      <t xml:space="preserve">4</t>
    </r>
    <r>
      <rPr>
        <sz val="9"/>
        <color rgb="FF808080"/>
        <rFont val="WenQuanYi Zen Hei"/>
        <family val="2"/>
      </rPr>
      <t xml:space="preserve">대보험 약 </t>
    </r>
    <r>
      <rPr>
        <sz val="9"/>
        <color rgb="FF808080"/>
        <rFont val="Malgun Gothic"/>
        <family val="0"/>
        <charset val="1"/>
      </rPr>
      <t xml:space="preserve">9.4%: </t>
    </r>
    <r>
      <rPr>
        <sz val="9"/>
        <color rgb="FF808080"/>
        <rFont val="WenQuanYi Zen Hei"/>
        <family val="2"/>
      </rPr>
      <t xml:space="preserve">국민연금 </t>
    </r>
    <r>
      <rPr>
        <sz val="9"/>
        <color rgb="FF808080"/>
        <rFont val="Malgun Gothic"/>
        <family val="0"/>
        <charset val="1"/>
      </rPr>
      <t xml:space="preserve">4.5% + </t>
    </r>
    <r>
      <rPr>
        <sz val="9"/>
        <color rgb="FF808080"/>
        <rFont val="WenQuanYi Zen Hei"/>
        <family val="2"/>
      </rPr>
      <t xml:space="preserve">건강보험 </t>
    </r>
    <r>
      <rPr>
        <sz val="9"/>
        <color rgb="FF808080"/>
        <rFont val="Malgun Gothic"/>
        <family val="0"/>
        <charset val="1"/>
      </rPr>
      <t xml:space="preserve">3.545% + </t>
    </r>
    <r>
      <rPr>
        <sz val="9"/>
        <color rgb="FF808080"/>
        <rFont val="WenQuanYi Zen Hei"/>
        <family val="2"/>
      </rPr>
      <t xml:space="preserve">장기요양 </t>
    </r>
    <r>
      <rPr>
        <sz val="9"/>
        <color rgb="FF808080"/>
        <rFont val="Malgun Gothic"/>
        <family val="0"/>
        <charset val="1"/>
      </rPr>
      <t xml:space="preserve">0.459% + </t>
    </r>
    <r>
      <rPr>
        <sz val="9"/>
        <color rgb="FF808080"/>
        <rFont val="WenQuanYi Zen Hei"/>
        <family val="2"/>
      </rPr>
      <t xml:space="preserve">고용보험 </t>
    </r>
    <r>
      <rPr>
        <sz val="9"/>
        <color rgb="FF808080"/>
        <rFont val="Malgun Gothic"/>
        <family val="0"/>
        <charset val="1"/>
      </rPr>
      <t xml:space="preserve">0.9% (2026</t>
    </r>
    <r>
      <rPr>
        <sz val="9"/>
        <color rgb="FF808080"/>
        <rFont val="WenQuanYi Zen Hei"/>
        <family val="2"/>
      </rPr>
      <t xml:space="preserve">년 근로자 부담분 근사치</t>
    </r>
    <r>
      <rPr>
        <sz val="9"/>
        <color rgb="FF808080"/>
        <rFont val="Malgun Gothic"/>
        <family val="0"/>
        <charset val="1"/>
      </rPr>
      <t xml:space="preserve">).</t>
    </r>
  </si>
  <si>
    <r>
      <rPr>
        <sz val="9"/>
        <color rgb="FF808080"/>
        <rFont val="Malgun Gothic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연장근로</t>
    </r>
    <r>
      <rPr>
        <sz val="9"/>
        <color rgb="FF808080"/>
        <rFont val="Malgun Gothic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휴일근로 가산수당은 반영하지 않음</t>
    </r>
    <r>
      <rPr>
        <sz val="9"/>
        <color rgb="FF808080"/>
        <rFont val="Malgun Gothic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퇴근이 자정을 넘는 경우</t>
    </r>
    <r>
      <rPr>
        <sz val="9"/>
        <color rgb="FF808080"/>
        <rFont val="Malgun Gothic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예</t>
    </r>
    <r>
      <rPr>
        <sz val="9"/>
        <color rgb="FF808080"/>
        <rFont val="Malgun Gothic"/>
        <family val="0"/>
        <charset val="1"/>
      </rPr>
      <t xml:space="preserve">: 20:00~02:00)</t>
    </r>
    <r>
      <rPr>
        <sz val="9"/>
        <color rgb="FF808080"/>
        <rFont val="WenQuanYi Zen Hei"/>
        <family val="2"/>
      </rPr>
      <t xml:space="preserve">도 자동 계산됨</t>
    </r>
    <r>
      <rPr>
        <sz val="9"/>
        <color rgb="FF808080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</si>
</sst>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mm\-dd"/>
    <numFmt numFmtId="167" formatCode="hh:mm"/>
    <numFmt numFmtId="168" formatCode="0.00"/>
    <numFmt numFmtId="169" formatCode="General"/>
    <numFmt numFmtId="170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9"/>
      <color rgb="FF808080"/>
      <name val="WenQuanYi Zen Hei"/>
      <family val="2"/>
    </font>
    <font>
      <sz val="9"/>
      <color rgb="FF808080"/>
      <name val="Malgun Gothic"/>
      <family val="0"/>
      <charset val="1"/>
    </font>
    <font>
      <b val="true"/>
      <sz val="10"/>
      <name val="WenQuanYi Zen Hei"/>
      <family val="2"/>
    </font>
    <font>
      <sz val="10"/>
      <color rgb="FF0000FF"/>
      <name val="Malgun Gothic"/>
      <family val="0"/>
      <charset val="1"/>
    </font>
    <font>
      <b val="true"/>
      <sz val="10"/>
      <name val="Malgun Gothic"/>
      <family val="0"/>
      <charset val="1"/>
    </font>
    <font>
      <sz val="10"/>
      <color rgb="FF0000FF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Malgun Gothic"/>
      <family val="0"/>
      <charset val="1"/>
    </font>
    <font>
      <sz val="11"/>
      <color theme="1"/>
      <name val="WenQuanYi Zen Hei"/>
      <family val="2"/>
    </font>
    <font>
      <sz val="10"/>
      <name val="Malgun Gothic"/>
      <family val="0"/>
      <charset val="1"/>
    </font>
    <font>
      <b val="true"/>
      <sz val="11"/>
      <name val="WenQuanYi Zen Hei"/>
      <family val="2"/>
    </font>
    <font>
      <b val="true"/>
      <sz val="11"/>
      <name val="Malgun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E7EE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7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6"/>
    <col collapsed="false" customWidth="true" hidden="false" outlineLevel="0" max="10" min="10" style="0" width="2"/>
    <col collapsed="false" customWidth="true" hidden="false" outlineLevel="0" max="12" min="11" style="0" width="14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4" t="n">
        <v>2026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7</v>
      </c>
      <c r="C5" s="6" t="s">
        <v>5</v>
      </c>
    </row>
    <row r="6" customFormat="false" ht="15" hidden="false" customHeight="false" outlineLevel="0" collapsed="false">
      <c r="A6" s="3" t="s">
        <v>6</v>
      </c>
      <c r="B6" s="7" t="n">
        <v>10320</v>
      </c>
      <c r="C6" s="6" t="s">
        <v>7</v>
      </c>
    </row>
    <row r="7" customFormat="false" ht="15" hidden="false" customHeight="false" outlineLevel="0" collapsed="false">
      <c r="A7" s="3" t="s">
        <v>8</v>
      </c>
      <c r="B7" s="8" t="s">
        <v>9</v>
      </c>
      <c r="C7" s="5" t="s">
        <v>10</v>
      </c>
    </row>
    <row r="8" customFormat="false" ht="15" hidden="false" customHeight="false" outlineLevel="0" collapsed="false">
      <c r="A8" s="3" t="s">
        <v>11</v>
      </c>
      <c r="B8" s="8" t="s">
        <v>12</v>
      </c>
      <c r="C8" s="5" t="s">
        <v>13</v>
      </c>
    </row>
    <row r="10" customFormat="false" ht="15" hidden="false" customHeight="false" outlineLevel="0" collapsed="false">
      <c r="K10" s="3" t="s">
        <v>14</v>
      </c>
    </row>
    <row r="11" customFormat="false" ht="15" hidden="false" customHeight="false" outlineLevel="0" collapsed="false">
      <c r="A11" s="9" t="s">
        <v>15</v>
      </c>
      <c r="B11" s="9" t="s">
        <v>16</v>
      </c>
      <c r="C11" s="9" t="s">
        <v>17</v>
      </c>
      <c r="D11" s="9" t="s">
        <v>18</v>
      </c>
      <c r="E11" s="9" t="s">
        <v>19</v>
      </c>
      <c r="F11" s="9" t="s">
        <v>20</v>
      </c>
      <c r="G11" s="9" t="s">
        <v>21</v>
      </c>
      <c r="H11" s="9" t="s">
        <v>22</v>
      </c>
      <c r="I11" s="9" t="s">
        <v>23</v>
      </c>
      <c r="K11" s="9" t="s">
        <v>23</v>
      </c>
      <c r="L11" s="9" t="s">
        <v>24</v>
      </c>
      <c r="M11" s="9" t="s">
        <v>25</v>
      </c>
    </row>
    <row r="12" customFormat="false" ht="15" hidden="false" customHeight="false" outlineLevel="0" collapsed="false">
      <c r="A12" s="10" t="n">
        <f aca="false">IF(1&lt;=DAY(EOMONTH(DATE($B$4,$B$5,1),0)),DATE($B$4,$B$5,1),"")</f>
        <v>46204</v>
      </c>
      <c r="B12" s="11" t="str">
        <f aca="false">IF(A12="","",CHOOSE(WEEKDAY(A12),"일","월","화","수","목","금","토"))</f>
        <v>수</v>
      </c>
      <c r="C12" s="12" t="n">
        <v>0.75</v>
      </c>
      <c r="D12" s="12" t="n">
        <v>0.958333333333333</v>
      </c>
      <c r="E12" s="13" t="n">
        <v>30</v>
      </c>
      <c r="F12" s="13"/>
      <c r="G12" s="14" t="n">
        <f aca="false">IF(OR(A12="",C12="",D12=""),"",ROUND(MOD(D12-C12,1)*24-IF(E12="",0,E12)/60,2))</f>
        <v>4.5</v>
      </c>
      <c r="H12" s="15" t="n">
        <f aca="false">IF(G12="","",ROUND(G12*$B$6+IF($B$7="예",IF(F12="",0,F12)*$B$6*0.5,0),0))</f>
        <v>46440</v>
      </c>
      <c r="I12" s="16" t="n">
        <f aca="false">IF(A12="","",WEEKNUM(A12,2)-WEEKNUM(DATE($B$4,$B$5,1),2)+1)</f>
        <v>1</v>
      </c>
      <c r="K12" s="17" t="n">
        <v>1</v>
      </c>
      <c r="L12" s="18" t="n">
        <f aca="false">SUMIFS($G$12:$G$42,$I$12:$I$42,K12)</f>
        <v>16</v>
      </c>
      <c r="M12" s="19" t="n">
        <f aca="false">IF(L12&gt;=15,ROUND(MIN(L12,40)/40*8*$B$6,0),0)</f>
        <v>33024</v>
      </c>
    </row>
    <row r="13" customFormat="false" ht="15" hidden="false" customHeight="false" outlineLevel="0" collapsed="false">
      <c r="A13" s="10" t="n">
        <f aca="false">IF(2&lt;=DAY(EOMONTH(DATE($B$4,$B$5,1),0)),DATE($B$4,$B$5,2),"")</f>
        <v>46205</v>
      </c>
      <c r="B13" s="11" t="str">
        <f aca="false">IF(A13="","",CHOOSE(WEEKDAY(A13),"일","월","화","수","목","금","토"))</f>
        <v>목</v>
      </c>
      <c r="C13" s="12" t="n">
        <v>0.75</v>
      </c>
      <c r="D13" s="12" t="n">
        <v>0.958333333333333</v>
      </c>
      <c r="E13" s="13" t="n">
        <v>30</v>
      </c>
      <c r="F13" s="13"/>
      <c r="G13" s="14" t="n">
        <f aca="false">IF(OR(A13="",C13="",D13=""),"",ROUND(MOD(D13-C13,1)*24-IF(E13="",0,E13)/60,2))</f>
        <v>4.5</v>
      </c>
      <c r="H13" s="15" t="n">
        <f aca="false">IF(G13="","",ROUND(G13*$B$6+IF($B$7="예",IF(F13="",0,F13)*$B$6*0.5,0),0))</f>
        <v>46440</v>
      </c>
      <c r="I13" s="16" t="n">
        <f aca="false">IF(A13="","",WEEKNUM(A13,2)-WEEKNUM(DATE($B$4,$B$5,1),2)+1)</f>
        <v>1</v>
      </c>
      <c r="K13" s="17" t="n">
        <v>2</v>
      </c>
      <c r="L13" s="18" t="n">
        <f aca="false">SUMIFS($G$12:$G$42,$I$12:$I$42,K13)</f>
        <v>0</v>
      </c>
      <c r="M13" s="19" t="n">
        <f aca="false">IF(L13&gt;=15,ROUND(MIN(L13,40)/40*8*$B$6,0),0)</f>
        <v>0</v>
      </c>
    </row>
    <row r="14" customFormat="false" ht="15" hidden="false" customHeight="false" outlineLevel="0" collapsed="false">
      <c r="A14" s="10" t="n">
        <f aca="false">IF(3&lt;=DAY(EOMONTH(DATE($B$4,$B$5,1),0)),DATE($B$4,$B$5,3),"")</f>
        <v>46206</v>
      </c>
      <c r="B14" s="11" t="str">
        <f aca="false">IF(A14="","",CHOOSE(WEEKDAY(A14),"일","월","화","수","목","금","토"))</f>
        <v>금</v>
      </c>
      <c r="C14" s="12"/>
      <c r="D14" s="12"/>
      <c r="E14" s="13"/>
      <c r="F14" s="13"/>
      <c r="G14" s="14" t="str">
        <f aca="false">IF(OR(A14="",C14="",D14=""),"",ROUND(MOD(D14-C14,1)*24-IF(E14="",0,E14)/60,2))</f>
        <v/>
      </c>
      <c r="H14" s="15" t="str">
        <f aca="false">IF(G14="","",ROUND(G14*$B$6+IF($B$7="예",IF(F14="",0,F14)*$B$6*0.5,0),0))</f>
        <v/>
      </c>
      <c r="I14" s="16" t="n">
        <f aca="false">IF(A14="","",WEEKNUM(A14,2)-WEEKNUM(DATE($B$4,$B$5,1),2)+1)</f>
        <v>1</v>
      </c>
      <c r="K14" s="17" t="n">
        <v>3</v>
      </c>
      <c r="L14" s="18" t="n">
        <f aca="false">SUMIFS($G$12:$G$42,$I$12:$I$42,K14)</f>
        <v>0</v>
      </c>
      <c r="M14" s="19" t="n">
        <f aca="false">IF(L14&gt;=15,ROUND(MIN(L14,40)/40*8*$B$6,0),0)</f>
        <v>0</v>
      </c>
    </row>
    <row r="15" customFormat="false" ht="15" hidden="false" customHeight="false" outlineLevel="0" collapsed="false">
      <c r="A15" s="10" t="n">
        <f aca="false">IF(4&lt;=DAY(EOMONTH(DATE($B$4,$B$5,1),0)),DATE($B$4,$B$5,4),"")</f>
        <v>46207</v>
      </c>
      <c r="B15" s="11" t="str">
        <f aca="false">IF(A15="","",CHOOSE(WEEKDAY(A15),"일","월","화","수","목","금","토"))</f>
        <v>토</v>
      </c>
      <c r="C15" s="12" t="n">
        <v>0.416666666666667</v>
      </c>
      <c r="D15" s="12" t="n">
        <v>0.75</v>
      </c>
      <c r="E15" s="13" t="n">
        <v>60</v>
      </c>
      <c r="F15" s="13"/>
      <c r="G15" s="14" t="n">
        <f aca="false">IF(OR(A15="",C15="",D15=""),"",ROUND(MOD(D15-C15,1)*24-IF(E15="",0,E15)/60,2))</f>
        <v>7</v>
      </c>
      <c r="H15" s="15" t="n">
        <f aca="false">IF(G15="","",ROUND(G15*$B$6+IF($B$7="예",IF(F15="",0,F15)*$B$6*0.5,0),0))</f>
        <v>72240</v>
      </c>
      <c r="I15" s="16" t="n">
        <f aca="false">IF(A15="","",WEEKNUM(A15,2)-WEEKNUM(DATE($B$4,$B$5,1),2)+1)</f>
        <v>1</v>
      </c>
      <c r="K15" s="17" t="n">
        <v>4</v>
      </c>
      <c r="L15" s="18" t="n">
        <f aca="false">SUMIFS($G$12:$G$42,$I$12:$I$42,K15)</f>
        <v>0</v>
      </c>
      <c r="M15" s="19" t="n">
        <f aca="false">IF(L15&gt;=15,ROUND(MIN(L15,40)/40*8*$B$6,0),0)</f>
        <v>0</v>
      </c>
    </row>
    <row r="16" customFormat="false" ht="15" hidden="false" customHeight="false" outlineLevel="0" collapsed="false">
      <c r="A16" s="10" t="n">
        <f aca="false">IF(5&lt;=DAY(EOMONTH(DATE($B$4,$B$5,1),0)),DATE($B$4,$B$5,5),"")</f>
        <v>46208</v>
      </c>
      <c r="B16" s="11" t="str">
        <f aca="false">IF(A16="","",CHOOSE(WEEKDAY(A16),"일","월","화","수","목","금","토"))</f>
        <v>일</v>
      </c>
      <c r="C16" s="12"/>
      <c r="D16" s="12"/>
      <c r="E16" s="13"/>
      <c r="F16" s="13"/>
      <c r="G16" s="14" t="str">
        <f aca="false">IF(OR(A16="",C16="",D16=""),"",ROUND(MOD(D16-C16,1)*24-IF(E16="",0,E16)/60,2))</f>
        <v/>
      </c>
      <c r="H16" s="15" t="str">
        <f aca="false">IF(G16="","",ROUND(G16*$B$6+IF($B$7="예",IF(F16="",0,F16)*$B$6*0.5,0),0))</f>
        <v/>
      </c>
      <c r="I16" s="16" t="n">
        <f aca="false">IF(A16="","",WEEKNUM(A16,2)-WEEKNUM(DATE($B$4,$B$5,1),2)+1)</f>
        <v>1</v>
      </c>
      <c r="K16" s="17" t="n">
        <v>5</v>
      </c>
      <c r="L16" s="18" t="n">
        <f aca="false">SUMIFS($G$12:$G$42,$I$12:$I$42,K16)</f>
        <v>0</v>
      </c>
      <c r="M16" s="19" t="n">
        <f aca="false">IF(L16&gt;=15,ROUND(MIN(L16,40)/40*8*$B$6,0),0)</f>
        <v>0</v>
      </c>
    </row>
    <row r="17" customFormat="false" ht="15" hidden="false" customHeight="false" outlineLevel="0" collapsed="false">
      <c r="A17" s="10" t="n">
        <f aca="false">IF(6&lt;=DAY(EOMONTH(DATE($B$4,$B$5,1),0)),DATE($B$4,$B$5,6),"")</f>
        <v>46209</v>
      </c>
      <c r="B17" s="11" t="str">
        <f aca="false">IF(A17="","",CHOOSE(WEEKDAY(A17),"일","월","화","수","목","금","토"))</f>
        <v>월</v>
      </c>
      <c r="C17" s="12"/>
      <c r="D17" s="12"/>
      <c r="E17" s="13"/>
      <c r="F17" s="13"/>
      <c r="G17" s="14" t="str">
        <f aca="false">IF(OR(A17="",C17="",D17=""),"",ROUND(MOD(D17-C17,1)*24-IF(E17="",0,E17)/60,2))</f>
        <v/>
      </c>
      <c r="H17" s="15" t="str">
        <f aca="false">IF(G17="","",ROUND(G17*$B$6+IF($B$7="예",IF(F17="",0,F17)*$B$6*0.5,0),0))</f>
        <v/>
      </c>
      <c r="I17" s="16" t="n">
        <f aca="false">IF(A17="","",WEEKNUM(A17,2)-WEEKNUM(DATE($B$4,$B$5,1),2)+1)</f>
        <v>2</v>
      </c>
      <c r="K17" s="17" t="n">
        <v>6</v>
      </c>
      <c r="L17" s="18" t="n">
        <f aca="false">SUMIFS($G$12:$G$42,$I$12:$I$42,K17)</f>
        <v>0</v>
      </c>
      <c r="M17" s="19" t="n">
        <f aca="false">IF(L17&gt;=15,ROUND(MIN(L17,40)/40*8*$B$6,0),0)</f>
        <v>0</v>
      </c>
    </row>
    <row r="18" customFormat="false" ht="15" hidden="false" customHeight="false" outlineLevel="0" collapsed="false">
      <c r="A18" s="10" t="n">
        <f aca="false">IF(7&lt;=DAY(EOMONTH(DATE($B$4,$B$5,1),0)),DATE($B$4,$B$5,7),"")</f>
        <v>46210</v>
      </c>
      <c r="B18" s="11" t="str">
        <f aca="false">IF(A18="","",CHOOSE(WEEKDAY(A18),"일","월","화","수","목","금","토"))</f>
        <v>화</v>
      </c>
      <c r="C18" s="12"/>
      <c r="D18" s="12"/>
      <c r="E18" s="13"/>
      <c r="F18" s="13"/>
      <c r="G18" s="14" t="str">
        <f aca="false">IF(OR(A18="",C18="",D18=""),"",ROUND(MOD(D18-C18,1)*24-IF(E18="",0,E18)/60,2))</f>
        <v/>
      </c>
      <c r="H18" s="15" t="str">
        <f aca="false">IF(G18="","",ROUND(G18*$B$6+IF($B$7="예",IF(F18="",0,F18)*$B$6*0.5,0),0))</f>
        <v/>
      </c>
      <c r="I18" s="16" t="n">
        <f aca="false">IF(A18="","",WEEKNUM(A18,2)-WEEKNUM(DATE($B$4,$B$5,1),2)+1)</f>
        <v>2</v>
      </c>
    </row>
    <row r="19" customFormat="false" ht="15" hidden="false" customHeight="false" outlineLevel="0" collapsed="false">
      <c r="A19" s="10" t="n">
        <f aca="false">IF(8&lt;=DAY(EOMONTH(DATE($B$4,$B$5,1),0)),DATE($B$4,$B$5,8),"")</f>
        <v>46211</v>
      </c>
      <c r="B19" s="11" t="str">
        <f aca="false">IF(A19="","",CHOOSE(WEEKDAY(A19),"일","월","화","수","목","금","토"))</f>
        <v>수</v>
      </c>
      <c r="C19" s="12"/>
      <c r="D19" s="12"/>
      <c r="E19" s="13"/>
      <c r="F19" s="13"/>
      <c r="G19" s="14" t="str">
        <f aca="false">IF(OR(A19="",C19="",D19=""),"",ROUND(MOD(D19-C19,1)*24-IF(E19="",0,E19)/60,2))</f>
        <v/>
      </c>
      <c r="H19" s="15" t="str">
        <f aca="false">IF(G19="","",ROUND(G19*$B$6+IF($B$7="예",IF(F19="",0,F19)*$B$6*0.5,0),0))</f>
        <v/>
      </c>
      <c r="I19" s="16" t="n">
        <f aca="false">IF(A19="","",WEEKNUM(A19,2)-WEEKNUM(DATE($B$4,$B$5,1),2)+1)</f>
        <v>2</v>
      </c>
      <c r="K19" s="3" t="s">
        <v>26</v>
      </c>
    </row>
    <row r="20" customFormat="false" ht="15" hidden="false" customHeight="false" outlineLevel="0" collapsed="false">
      <c r="A20" s="10" t="n">
        <f aca="false">IF(9&lt;=DAY(EOMONTH(DATE($B$4,$B$5,1),0)),DATE($B$4,$B$5,9),"")</f>
        <v>46212</v>
      </c>
      <c r="B20" s="11" t="str">
        <f aca="false">IF(A20="","",CHOOSE(WEEKDAY(A20),"일","월","화","수","목","금","토"))</f>
        <v>목</v>
      </c>
      <c r="C20" s="12"/>
      <c r="D20" s="12"/>
      <c r="E20" s="13"/>
      <c r="F20" s="13"/>
      <c r="G20" s="14" t="str">
        <f aca="false">IF(OR(A20="",C20="",D20=""),"",ROUND(MOD(D20-C20,1)*24-IF(E20="",0,E20)/60,2))</f>
        <v/>
      </c>
      <c r="H20" s="15" t="str">
        <f aca="false">IF(G20="","",ROUND(G20*$B$6+IF($B$7="예",IF(F20="",0,F20)*$B$6*0.5,0),0))</f>
        <v/>
      </c>
      <c r="I20" s="16" t="n">
        <f aca="false">IF(A20="","",WEEKNUM(A20,2)-WEEKNUM(DATE($B$4,$B$5,1),2)+1)</f>
        <v>2</v>
      </c>
      <c r="K20" s="20" t="s">
        <v>27</v>
      </c>
      <c r="L20" s="21" t="n">
        <f aca="false">SUM(G12:G42)</f>
        <v>16</v>
      </c>
    </row>
    <row r="21" customFormat="false" ht="15" hidden="false" customHeight="false" outlineLevel="0" collapsed="false">
      <c r="A21" s="10" t="n">
        <f aca="false">IF(10&lt;=DAY(EOMONTH(DATE($B$4,$B$5,1),0)),DATE($B$4,$B$5,10),"")</f>
        <v>46213</v>
      </c>
      <c r="B21" s="11" t="str">
        <f aca="false">IF(A21="","",CHOOSE(WEEKDAY(A21),"일","월","화","수","목","금","토"))</f>
        <v>금</v>
      </c>
      <c r="C21" s="12"/>
      <c r="D21" s="12"/>
      <c r="E21" s="13"/>
      <c r="F21" s="13"/>
      <c r="G21" s="14" t="str">
        <f aca="false">IF(OR(A21="",C21="",D21=""),"",ROUND(MOD(D21-C21,1)*24-IF(E21="",0,E21)/60,2))</f>
        <v/>
      </c>
      <c r="H21" s="15" t="str">
        <f aca="false">IF(G21="","",ROUND(G21*$B$6+IF($B$7="예",IF(F21="",0,F21)*$B$6*0.5,0),0))</f>
        <v/>
      </c>
      <c r="I21" s="16" t="n">
        <f aca="false">IF(A21="","",WEEKNUM(A21,2)-WEEKNUM(DATE($B$4,$B$5,1),2)+1)</f>
        <v>2</v>
      </c>
      <c r="K21" s="20" t="s">
        <v>28</v>
      </c>
      <c r="L21" s="22" t="n">
        <f aca="false">SUM(H12:H42)</f>
        <v>165120</v>
      </c>
    </row>
    <row r="22" customFormat="false" ht="15" hidden="false" customHeight="false" outlineLevel="0" collapsed="false">
      <c r="A22" s="10" t="n">
        <f aca="false">IF(11&lt;=DAY(EOMONTH(DATE($B$4,$B$5,1),0)),DATE($B$4,$B$5,11),"")</f>
        <v>46214</v>
      </c>
      <c r="B22" s="11" t="str">
        <f aca="false">IF(A22="","",CHOOSE(WEEKDAY(A22),"일","월","화","수","목","금","토"))</f>
        <v>토</v>
      </c>
      <c r="C22" s="12"/>
      <c r="D22" s="12"/>
      <c r="E22" s="13"/>
      <c r="F22" s="13"/>
      <c r="G22" s="14" t="str">
        <f aca="false">IF(OR(A22="",C22="",D22=""),"",ROUND(MOD(D22-C22,1)*24-IF(E22="",0,E22)/60,2))</f>
        <v/>
      </c>
      <c r="H22" s="15" t="str">
        <f aca="false">IF(G22="","",ROUND(G22*$B$6+IF($B$7="예",IF(F22="",0,F22)*$B$6*0.5,0),0))</f>
        <v/>
      </c>
      <c r="I22" s="16" t="n">
        <f aca="false">IF(A22="","",WEEKNUM(A22,2)-WEEKNUM(DATE($B$4,$B$5,1),2)+1)</f>
        <v>2</v>
      </c>
      <c r="K22" s="20" t="s">
        <v>29</v>
      </c>
      <c r="L22" s="22" t="n">
        <f aca="false">SUM(M12:M17)</f>
        <v>33024</v>
      </c>
    </row>
    <row r="23" customFormat="false" ht="15" hidden="false" customHeight="false" outlineLevel="0" collapsed="false">
      <c r="A23" s="10" t="n">
        <f aca="false">IF(12&lt;=DAY(EOMONTH(DATE($B$4,$B$5,1),0)),DATE($B$4,$B$5,12),"")</f>
        <v>46215</v>
      </c>
      <c r="B23" s="11" t="str">
        <f aca="false">IF(A23="","",CHOOSE(WEEKDAY(A23),"일","월","화","수","목","금","토"))</f>
        <v>일</v>
      </c>
      <c r="C23" s="12"/>
      <c r="D23" s="12"/>
      <c r="E23" s="13"/>
      <c r="F23" s="13"/>
      <c r="G23" s="14" t="str">
        <f aca="false">IF(OR(A23="",C23="",D23=""),"",ROUND(MOD(D23-C23,1)*24-IF(E23="",0,E23)/60,2))</f>
        <v/>
      </c>
      <c r="H23" s="15" t="str">
        <f aca="false">IF(G23="","",ROUND(G23*$B$6+IF($B$7="예",IF(F23="",0,F23)*$B$6*0.5,0),0))</f>
        <v/>
      </c>
      <c r="I23" s="16" t="n">
        <f aca="false">IF(A23="","",WEEKNUM(A23,2)-WEEKNUM(DATE($B$4,$B$5,1),2)+1)</f>
        <v>2</v>
      </c>
      <c r="K23" s="20" t="s">
        <v>30</v>
      </c>
      <c r="L23" s="22" t="n">
        <f aca="false">L21+L22</f>
        <v>198144</v>
      </c>
    </row>
    <row r="24" customFormat="false" ht="15" hidden="false" customHeight="false" outlineLevel="0" collapsed="false">
      <c r="A24" s="10" t="n">
        <f aca="false">IF(13&lt;=DAY(EOMONTH(DATE($B$4,$B$5,1),0)),DATE($B$4,$B$5,13),"")</f>
        <v>46216</v>
      </c>
      <c r="B24" s="11" t="str">
        <f aca="false">IF(A24="","",CHOOSE(WEEKDAY(A24),"일","월","화","수","목","금","토"))</f>
        <v>월</v>
      </c>
      <c r="C24" s="12"/>
      <c r="D24" s="12"/>
      <c r="E24" s="13"/>
      <c r="F24" s="13"/>
      <c r="G24" s="14" t="str">
        <f aca="false">IF(OR(A24="",C24="",D24=""),"",ROUND(MOD(D24-C24,1)*24-IF(E24="",0,E24)/60,2))</f>
        <v/>
      </c>
      <c r="H24" s="15" t="str">
        <f aca="false">IF(G24="","",ROUND(G24*$B$6+IF($B$7="예",IF(F24="",0,F24)*$B$6*0.5,0),0))</f>
        <v/>
      </c>
      <c r="I24" s="16" t="n">
        <f aca="false">IF(A24="","",WEEKNUM(A24,2)-WEEKNUM(DATE($B$4,$B$5,1),2)+1)</f>
        <v>3</v>
      </c>
      <c r="K24" s="20" t="s">
        <v>31</v>
      </c>
      <c r="L24" s="23" t="n">
        <f aca="false">IF($B$8="소득세 3.3%",0.033,IF($B$8="4대보험 (약 9.4%)",0.094,0))</f>
        <v>0.033</v>
      </c>
    </row>
    <row r="25" customFormat="false" ht="15" hidden="false" customHeight="false" outlineLevel="0" collapsed="false">
      <c r="A25" s="10" t="n">
        <f aca="false">IF(14&lt;=DAY(EOMONTH(DATE($B$4,$B$5,1),0)),DATE($B$4,$B$5,14),"")</f>
        <v>46217</v>
      </c>
      <c r="B25" s="11" t="str">
        <f aca="false">IF(A25="","",CHOOSE(WEEKDAY(A25),"일","월","화","수","목","금","토"))</f>
        <v>화</v>
      </c>
      <c r="C25" s="12"/>
      <c r="D25" s="12"/>
      <c r="E25" s="13"/>
      <c r="F25" s="13"/>
      <c r="G25" s="14" t="str">
        <f aca="false">IF(OR(A25="",C25="",D25=""),"",ROUND(MOD(D25-C25,1)*24-IF(E25="",0,E25)/60,2))</f>
        <v/>
      </c>
      <c r="H25" s="15" t="str">
        <f aca="false">IF(G25="","",ROUND(G25*$B$6+IF($B$7="예",IF(F25="",0,F25)*$B$6*0.5,0),0))</f>
        <v/>
      </c>
      <c r="I25" s="16" t="n">
        <f aca="false">IF(A25="","",WEEKNUM(A25,2)-WEEKNUM(DATE($B$4,$B$5,1),2)+1)</f>
        <v>3</v>
      </c>
      <c r="K25" s="20" t="s">
        <v>32</v>
      </c>
      <c r="L25" s="22" t="n">
        <f aca="false">ROUND(L23*L24,0)</f>
        <v>6539</v>
      </c>
    </row>
    <row r="26" customFormat="false" ht="15" hidden="false" customHeight="false" outlineLevel="0" collapsed="false">
      <c r="A26" s="10" t="n">
        <f aca="false">IF(15&lt;=DAY(EOMONTH(DATE($B$4,$B$5,1),0)),DATE($B$4,$B$5,15),"")</f>
        <v>46218</v>
      </c>
      <c r="B26" s="11" t="str">
        <f aca="false">IF(A26="","",CHOOSE(WEEKDAY(A26),"일","월","화","수","목","금","토"))</f>
        <v>수</v>
      </c>
      <c r="C26" s="12"/>
      <c r="D26" s="12"/>
      <c r="E26" s="13"/>
      <c r="F26" s="13"/>
      <c r="G26" s="14" t="str">
        <f aca="false">IF(OR(A26="",C26="",D26=""),"",ROUND(MOD(D26-C26,1)*24-IF(E26="",0,E26)/60,2))</f>
        <v/>
      </c>
      <c r="H26" s="15" t="str">
        <f aca="false">IF(G26="","",ROUND(G26*$B$6+IF($B$7="예",IF(F26="",0,F26)*$B$6*0.5,0),0))</f>
        <v/>
      </c>
      <c r="I26" s="16" t="n">
        <f aca="false">IF(A26="","",WEEKNUM(A26,2)-WEEKNUM(DATE($B$4,$B$5,1),2)+1)</f>
        <v>3</v>
      </c>
      <c r="K26" s="24" t="s">
        <v>33</v>
      </c>
      <c r="L26" s="25" t="n">
        <f aca="false">L23-L25</f>
        <v>191605</v>
      </c>
    </row>
    <row r="27" customFormat="false" ht="15" hidden="false" customHeight="false" outlineLevel="0" collapsed="false">
      <c r="A27" s="10" t="n">
        <f aca="false">IF(16&lt;=DAY(EOMONTH(DATE($B$4,$B$5,1),0)),DATE($B$4,$B$5,16),"")</f>
        <v>46219</v>
      </c>
      <c r="B27" s="11" t="str">
        <f aca="false">IF(A27="","",CHOOSE(WEEKDAY(A27),"일","월","화","수","목","금","토"))</f>
        <v>목</v>
      </c>
      <c r="C27" s="12"/>
      <c r="D27" s="12"/>
      <c r="E27" s="13"/>
      <c r="F27" s="13"/>
      <c r="G27" s="14" t="str">
        <f aca="false">IF(OR(A27="",C27="",D27=""),"",ROUND(MOD(D27-C27,1)*24-IF(E27="",0,E27)/60,2))</f>
        <v/>
      </c>
      <c r="H27" s="15" t="str">
        <f aca="false">IF(G27="","",ROUND(G27*$B$6+IF($B$7="예",IF(F27="",0,F27)*$B$6*0.5,0),0))</f>
        <v/>
      </c>
      <c r="I27" s="16" t="n">
        <f aca="false">IF(A27="","",WEEKNUM(A27,2)-WEEKNUM(DATE($B$4,$B$5,1),2)+1)</f>
        <v>3</v>
      </c>
    </row>
    <row r="28" customFormat="false" ht="15" hidden="false" customHeight="false" outlineLevel="0" collapsed="false">
      <c r="A28" s="10" t="n">
        <f aca="false">IF(17&lt;=DAY(EOMONTH(DATE($B$4,$B$5,1),0)),DATE($B$4,$B$5,17),"")</f>
        <v>46220</v>
      </c>
      <c r="B28" s="11" t="str">
        <f aca="false">IF(A28="","",CHOOSE(WEEKDAY(A28),"일","월","화","수","목","금","토"))</f>
        <v>금</v>
      </c>
      <c r="C28" s="12"/>
      <c r="D28" s="12"/>
      <c r="E28" s="13"/>
      <c r="F28" s="13"/>
      <c r="G28" s="14" t="str">
        <f aca="false">IF(OR(A28="",C28="",D28=""),"",ROUND(MOD(D28-C28,1)*24-IF(E28="",0,E28)/60,2))</f>
        <v/>
      </c>
      <c r="H28" s="15" t="str">
        <f aca="false">IF(G28="","",ROUND(G28*$B$6+IF($B$7="예",IF(F28="",0,F28)*$B$6*0.5,0),0))</f>
        <v/>
      </c>
      <c r="I28" s="16" t="n">
        <f aca="false">IF(A28="","",WEEKNUM(A28,2)-WEEKNUM(DATE($B$4,$B$5,1),2)+1)</f>
        <v>3</v>
      </c>
    </row>
    <row r="29" customFormat="false" ht="15" hidden="false" customHeight="false" outlineLevel="0" collapsed="false">
      <c r="A29" s="10" t="n">
        <f aca="false">IF(18&lt;=DAY(EOMONTH(DATE($B$4,$B$5,1),0)),DATE($B$4,$B$5,18),"")</f>
        <v>46221</v>
      </c>
      <c r="B29" s="11" t="str">
        <f aca="false">IF(A29="","",CHOOSE(WEEKDAY(A29),"일","월","화","수","목","금","토"))</f>
        <v>토</v>
      </c>
      <c r="C29" s="12"/>
      <c r="D29" s="12"/>
      <c r="E29" s="13"/>
      <c r="F29" s="13"/>
      <c r="G29" s="14" t="str">
        <f aca="false">IF(OR(A29="",C29="",D29=""),"",ROUND(MOD(D29-C29,1)*24-IF(E29="",0,E29)/60,2))</f>
        <v/>
      </c>
      <c r="H29" s="15" t="str">
        <f aca="false">IF(G29="","",ROUND(G29*$B$6+IF($B$7="예",IF(F29="",0,F29)*$B$6*0.5,0),0))</f>
        <v/>
      </c>
      <c r="I29" s="16" t="n">
        <f aca="false">IF(A29="","",WEEKNUM(A29,2)-WEEKNUM(DATE($B$4,$B$5,1),2)+1)</f>
        <v>3</v>
      </c>
    </row>
    <row r="30" customFormat="false" ht="15" hidden="false" customHeight="false" outlineLevel="0" collapsed="false">
      <c r="A30" s="10" t="n">
        <f aca="false">IF(19&lt;=DAY(EOMONTH(DATE($B$4,$B$5,1),0)),DATE($B$4,$B$5,19),"")</f>
        <v>46222</v>
      </c>
      <c r="B30" s="11" t="str">
        <f aca="false">IF(A30="","",CHOOSE(WEEKDAY(A30),"일","월","화","수","목","금","토"))</f>
        <v>일</v>
      </c>
      <c r="C30" s="12"/>
      <c r="D30" s="12"/>
      <c r="E30" s="13"/>
      <c r="F30" s="13"/>
      <c r="G30" s="14" t="str">
        <f aca="false">IF(OR(A30="",C30="",D30=""),"",ROUND(MOD(D30-C30,1)*24-IF(E30="",0,E30)/60,2))</f>
        <v/>
      </c>
      <c r="H30" s="15" t="str">
        <f aca="false">IF(G30="","",ROUND(G30*$B$6+IF($B$7="예",IF(F30="",0,F30)*$B$6*0.5,0),0))</f>
        <v/>
      </c>
      <c r="I30" s="16" t="n">
        <f aca="false">IF(A30="","",WEEKNUM(A30,2)-WEEKNUM(DATE($B$4,$B$5,1),2)+1)</f>
        <v>3</v>
      </c>
    </row>
    <row r="31" customFormat="false" ht="15" hidden="false" customHeight="false" outlineLevel="0" collapsed="false">
      <c r="A31" s="10" t="n">
        <f aca="false">IF(20&lt;=DAY(EOMONTH(DATE($B$4,$B$5,1),0)),DATE($B$4,$B$5,20),"")</f>
        <v>46223</v>
      </c>
      <c r="B31" s="11" t="str">
        <f aca="false">IF(A31="","",CHOOSE(WEEKDAY(A31),"일","월","화","수","목","금","토"))</f>
        <v>월</v>
      </c>
      <c r="C31" s="12"/>
      <c r="D31" s="12"/>
      <c r="E31" s="13"/>
      <c r="F31" s="13"/>
      <c r="G31" s="14" t="str">
        <f aca="false">IF(OR(A31="",C31="",D31=""),"",ROUND(MOD(D31-C31,1)*24-IF(E31="",0,E31)/60,2))</f>
        <v/>
      </c>
      <c r="H31" s="15" t="str">
        <f aca="false">IF(G31="","",ROUND(G31*$B$6+IF($B$7="예",IF(F31="",0,F31)*$B$6*0.5,0),0))</f>
        <v/>
      </c>
      <c r="I31" s="16" t="n">
        <f aca="false">IF(A31="","",WEEKNUM(A31,2)-WEEKNUM(DATE($B$4,$B$5,1),2)+1)</f>
        <v>4</v>
      </c>
    </row>
    <row r="32" customFormat="false" ht="15" hidden="false" customHeight="false" outlineLevel="0" collapsed="false">
      <c r="A32" s="10" t="n">
        <f aca="false">IF(21&lt;=DAY(EOMONTH(DATE($B$4,$B$5,1),0)),DATE($B$4,$B$5,21),"")</f>
        <v>46224</v>
      </c>
      <c r="B32" s="11" t="str">
        <f aca="false">IF(A32="","",CHOOSE(WEEKDAY(A32),"일","월","화","수","목","금","토"))</f>
        <v>화</v>
      </c>
      <c r="C32" s="12"/>
      <c r="D32" s="12"/>
      <c r="E32" s="13"/>
      <c r="F32" s="13"/>
      <c r="G32" s="14" t="str">
        <f aca="false">IF(OR(A32="",C32="",D32=""),"",ROUND(MOD(D32-C32,1)*24-IF(E32="",0,E32)/60,2))</f>
        <v/>
      </c>
      <c r="H32" s="15" t="str">
        <f aca="false">IF(G32="","",ROUND(G32*$B$6+IF($B$7="예",IF(F32="",0,F32)*$B$6*0.5,0),0))</f>
        <v/>
      </c>
      <c r="I32" s="16" t="n">
        <f aca="false">IF(A32="","",WEEKNUM(A32,2)-WEEKNUM(DATE($B$4,$B$5,1),2)+1)</f>
        <v>4</v>
      </c>
    </row>
    <row r="33" customFormat="false" ht="15" hidden="false" customHeight="false" outlineLevel="0" collapsed="false">
      <c r="A33" s="10" t="n">
        <f aca="false">IF(22&lt;=DAY(EOMONTH(DATE($B$4,$B$5,1),0)),DATE($B$4,$B$5,22),"")</f>
        <v>46225</v>
      </c>
      <c r="B33" s="11" t="str">
        <f aca="false">IF(A33="","",CHOOSE(WEEKDAY(A33),"일","월","화","수","목","금","토"))</f>
        <v>수</v>
      </c>
      <c r="C33" s="12"/>
      <c r="D33" s="12"/>
      <c r="E33" s="13"/>
      <c r="F33" s="13"/>
      <c r="G33" s="14" t="str">
        <f aca="false">IF(OR(A33="",C33="",D33=""),"",ROUND(MOD(D33-C33,1)*24-IF(E33="",0,E33)/60,2))</f>
        <v/>
      </c>
      <c r="H33" s="15" t="str">
        <f aca="false">IF(G33="","",ROUND(G33*$B$6+IF($B$7="예",IF(F33="",0,F33)*$B$6*0.5,0),0))</f>
        <v/>
      </c>
      <c r="I33" s="16" t="n">
        <f aca="false">IF(A33="","",WEEKNUM(A33,2)-WEEKNUM(DATE($B$4,$B$5,1),2)+1)</f>
        <v>4</v>
      </c>
    </row>
    <row r="34" customFormat="false" ht="15" hidden="false" customHeight="false" outlineLevel="0" collapsed="false">
      <c r="A34" s="10" t="n">
        <f aca="false">IF(23&lt;=DAY(EOMONTH(DATE($B$4,$B$5,1),0)),DATE($B$4,$B$5,23),"")</f>
        <v>46226</v>
      </c>
      <c r="B34" s="11" t="str">
        <f aca="false">IF(A34="","",CHOOSE(WEEKDAY(A34),"일","월","화","수","목","금","토"))</f>
        <v>목</v>
      </c>
      <c r="C34" s="12"/>
      <c r="D34" s="12"/>
      <c r="E34" s="13"/>
      <c r="F34" s="13"/>
      <c r="G34" s="14" t="str">
        <f aca="false">IF(OR(A34="",C34="",D34=""),"",ROUND(MOD(D34-C34,1)*24-IF(E34="",0,E34)/60,2))</f>
        <v/>
      </c>
      <c r="H34" s="15" t="str">
        <f aca="false">IF(G34="","",ROUND(G34*$B$6+IF($B$7="예",IF(F34="",0,F34)*$B$6*0.5,0),0))</f>
        <v/>
      </c>
      <c r="I34" s="16" t="n">
        <f aca="false">IF(A34="","",WEEKNUM(A34,2)-WEEKNUM(DATE($B$4,$B$5,1),2)+1)</f>
        <v>4</v>
      </c>
    </row>
    <row r="35" customFormat="false" ht="15" hidden="false" customHeight="false" outlineLevel="0" collapsed="false">
      <c r="A35" s="10" t="n">
        <f aca="false">IF(24&lt;=DAY(EOMONTH(DATE($B$4,$B$5,1),0)),DATE($B$4,$B$5,24),"")</f>
        <v>46227</v>
      </c>
      <c r="B35" s="11" t="str">
        <f aca="false">IF(A35="","",CHOOSE(WEEKDAY(A35),"일","월","화","수","목","금","토"))</f>
        <v>금</v>
      </c>
      <c r="C35" s="12"/>
      <c r="D35" s="12"/>
      <c r="E35" s="13"/>
      <c r="F35" s="13"/>
      <c r="G35" s="14" t="str">
        <f aca="false">IF(OR(A35="",C35="",D35=""),"",ROUND(MOD(D35-C35,1)*24-IF(E35="",0,E35)/60,2))</f>
        <v/>
      </c>
      <c r="H35" s="15" t="str">
        <f aca="false">IF(G35="","",ROUND(G35*$B$6+IF($B$7="예",IF(F35="",0,F35)*$B$6*0.5,0),0))</f>
        <v/>
      </c>
      <c r="I35" s="16" t="n">
        <f aca="false">IF(A35="","",WEEKNUM(A35,2)-WEEKNUM(DATE($B$4,$B$5,1),2)+1)</f>
        <v>4</v>
      </c>
    </row>
    <row r="36" customFormat="false" ht="15" hidden="false" customHeight="false" outlineLevel="0" collapsed="false">
      <c r="A36" s="10" t="n">
        <f aca="false">IF(25&lt;=DAY(EOMONTH(DATE($B$4,$B$5,1),0)),DATE($B$4,$B$5,25),"")</f>
        <v>46228</v>
      </c>
      <c r="B36" s="11" t="str">
        <f aca="false">IF(A36="","",CHOOSE(WEEKDAY(A36),"일","월","화","수","목","금","토"))</f>
        <v>토</v>
      </c>
      <c r="C36" s="12"/>
      <c r="D36" s="12"/>
      <c r="E36" s="13"/>
      <c r="F36" s="13"/>
      <c r="G36" s="14" t="str">
        <f aca="false">IF(OR(A36="",C36="",D36=""),"",ROUND(MOD(D36-C36,1)*24-IF(E36="",0,E36)/60,2))</f>
        <v/>
      </c>
      <c r="H36" s="15" t="str">
        <f aca="false">IF(G36="","",ROUND(G36*$B$6+IF($B$7="예",IF(F36="",0,F36)*$B$6*0.5,0),0))</f>
        <v/>
      </c>
      <c r="I36" s="16" t="n">
        <f aca="false">IF(A36="","",WEEKNUM(A36,2)-WEEKNUM(DATE($B$4,$B$5,1),2)+1)</f>
        <v>4</v>
      </c>
    </row>
    <row r="37" customFormat="false" ht="15" hidden="false" customHeight="false" outlineLevel="0" collapsed="false">
      <c r="A37" s="10" t="n">
        <f aca="false">IF(26&lt;=DAY(EOMONTH(DATE($B$4,$B$5,1),0)),DATE($B$4,$B$5,26),"")</f>
        <v>46229</v>
      </c>
      <c r="B37" s="11" t="str">
        <f aca="false">IF(A37="","",CHOOSE(WEEKDAY(A37),"일","월","화","수","목","금","토"))</f>
        <v>일</v>
      </c>
      <c r="C37" s="12"/>
      <c r="D37" s="12"/>
      <c r="E37" s="13"/>
      <c r="F37" s="13"/>
      <c r="G37" s="14" t="str">
        <f aca="false">IF(OR(A37="",C37="",D37=""),"",ROUND(MOD(D37-C37,1)*24-IF(E37="",0,E37)/60,2))</f>
        <v/>
      </c>
      <c r="H37" s="15" t="str">
        <f aca="false">IF(G37="","",ROUND(G37*$B$6+IF($B$7="예",IF(F37="",0,F37)*$B$6*0.5,0),0))</f>
        <v/>
      </c>
      <c r="I37" s="16" t="n">
        <f aca="false">IF(A37="","",WEEKNUM(A37,2)-WEEKNUM(DATE($B$4,$B$5,1),2)+1)</f>
        <v>4</v>
      </c>
    </row>
    <row r="38" customFormat="false" ht="15" hidden="false" customHeight="false" outlineLevel="0" collapsed="false">
      <c r="A38" s="10" t="n">
        <f aca="false">IF(27&lt;=DAY(EOMONTH(DATE($B$4,$B$5,1),0)),DATE($B$4,$B$5,27),"")</f>
        <v>46230</v>
      </c>
      <c r="B38" s="11" t="str">
        <f aca="false">IF(A38="","",CHOOSE(WEEKDAY(A38),"일","월","화","수","목","금","토"))</f>
        <v>월</v>
      </c>
      <c r="C38" s="12"/>
      <c r="D38" s="12"/>
      <c r="E38" s="13"/>
      <c r="F38" s="13"/>
      <c r="G38" s="14" t="str">
        <f aca="false">IF(OR(A38="",C38="",D38=""),"",ROUND(MOD(D38-C38,1)*24-IF(E38="",0,E38)/60,2))</f>
        <v/>
      </c>
      <c r="H38" s="15" t="str">
        <f aca="false">IF(G38="","",ROUND(G38*$B$6+IF($B$7="예",IF(F38="",0,F38)*$B$6*0.5,0),0))</f>
        <v/>
      </c>
      <c r="I38" s="16" t="n">
        <f aca="false">IF(A38="","",WEEKNUM(A38,2)-WEEKNUM(DATE($B$4,$B$5,1),2)+1)</f>
        <v>5</v>
      </c>
    </row>
    <row r="39" customFormat="false" ht="15" hidden="false" customHeight="false" outlineLevel="0" collapsed="false">
      <c r="A39" s="10" t="n">
        <f aca="false">IF(28&lt;=DAY(EOMONTH(DATE($B$4,$B$5,1),0)),DATE($B$4,$B$5,28),"")</f>
        <v>46231</v>
      </c>
      <c r="B39" s="11" t="str">
        <f aca="false">IF(A39="","",CHOOSE(WEEKDAY(A39),"일","월","화","수","목","금","토"))</f>
        <v>화</v>
      </c>
      <c r="C39" s="12"/>
      <c r="D39" s="12"/>
      <c r="E39" s="13"/>
      <c r="F39" s="13"/>
      <c r="G39" s="14" t="str">
        <f aca="false">IF(OR(A39="",C39="",D39=""),"",ROUND(MOD(D39-C39,1)*24-IF(E39="",0,E39)/60,2))</f>
        <v/>
      </c>
      <c r="H39" s="15" t="str">
        <f aca="false">IF(G39="","",ROUND(G39*$B$6+IF($B$7="예",IF(F39="",0,F39)*$B$6*0.5,0),0))</f>
        <v/>
      </c>
      <c r="I39" s="16" t="n">
        <f aca="false">IF(A39="","",WEEKNUM(A39,2)-WEEKNUM(DATE($B$4,$B$5,1),2)+1)</f>
        <v>5</v>
      </c>
    </row>
    <row r="40" customFormat="false" ht="15" hidden="false" customHeight="false" outlineLevel="0" collapsed="false">
      <c r="A40" s="10" t="n">
        <f aca="false">IF(29&lt;=DAY(EOMONTH(DATE($B$4,$B$5,1),0)),DATE($B$4,$B$5,29),"")</f>
        <v>46232</v>
      </c>
      <c r="B40" s="11" t="str">
        <f aca="false">IF(A40="","",CHOOSE(WEEKDAY(A40),"일","월","화","수","목","금","토"))</f>
        <v>수</v>
      </c>
      <c r="C40" s="12"/>
      <c r="D40" s="12"/>
      <c r="E40" s="13"/>
      <c r="F40" s="13"/>
      <c r="G40" s="14" t="str">
        <f aca="false">IF(OR(A40="",C40="",D40=""),"",ROUND(MOD(D40-C40,1)*24-IF(E40="",0,E40)/60,2))</f>
        <v/>
      </c>
      <c r="H40" s="15" t="str">
        <f aca="false">IF(G40="","",ROUND(G40*$B$6+IF($B$7="예",IF(F40="",0,F40)*$B$6*0.5,0),0))</f>
        <v/>
      </c>
      <c r="I40" s="16" t="n">
        <f aca="false">IF(A40="","",WEEKNUM(A40,2)-WEEKNUM(DATE($B$4,$B$5,1),2)+1)</f>
        <v>5</v>
      </c>
    </row>
    <row r="41" customFormat="false" ht="15" hidden="false" customHeight="false" outlineLevel="0" collapsed="false">
      <c r="A41" s="10" t="n">
        <f aca="false">IF(30&lt;=DAY(EOMONTH(DATE($B$4,$B$5,1),0)),DATE($B$4,$B$5,30),"")</f>
        <v>46233</v>
      </c>
      <c r="B41" s="11" t="str">
        <f aca="false">IF(A41="","",CHOOSE(WEEKDAY(A41),"일","월","화","수","목","금","토"))</f>
        <v>목</v>
      </c>
      <c r="C41" s="12"/>
      <c r="D41" s="12"/>
      <c r="E41" s="13"/>
      <c r="F41" s="13"/>
      <c r="G41" s="14" t="str">
        <f aca="false">IF(OR(A41="",C41="",D41=""),"",ROUND(MOD(D41-C41,1)*24-IF(E41="",0,E41)/60,2))</f>
        <v/>
      </c>
      <c r="H41" s="15" t="str">
        <f aca="false">IF(G41="","",ROUND(G41*$B$6+IF($B$7="예",IF(F41="",0,F41)*$B$6*0.5,0),0))</f>
        <v/>
      </c>
      <c r="I41" s="16" t="n">
        <f aca="false">IF(A41="","",WEEKNUM(A41,2)-WEEKNUM(DATE($B$4,$B$5,1),2)+1)</f>
        <v>5</v>
      </c>
    </row>
    <row r="42" customFormat="false" ht="15" hidden="false" customHeight="false" outlineLevel="0" collapsed="false">
      <c r="A42" s="10" t="n">
        <f aca="false">IF(31&lt;=DAY(EOMONTH(DATE($B$4,$B$5,1),0)),DATE($B$4,$B$5,31),"")</f>
        <v>46234</v>
      </c>
      <c r="B42" s="11" t="str">
        <f aca="false">IF(A42="","",CHOOSE(WEEKDAY(A42),"일","월","화","수","목","금","토"))</f>
        <v>금</v>
      </c>
      <c r="C42" s="12"/>
      <c r="D42" s="12"/>
      <c r="E42" s="13"/>
      <c r="F42" s="13"/>
      <c r="G42" s="14" t="str">
        <f aca="false">IF(OR(A42="",C42="",D42=""),"",ROUND(MOD(D42-C42,1)*24-IF(E42="",0,E42)/60,2))</f>
        <v/>
      </c>
      <c r="H42" s="15" t="str">
        <f aca="false">IF(G42="","",ROUND(G42*$B$6+IF($B$7="예",IF(F42="",0,F42)*$B$6*0.5,0),0))</f>
        <v/>
      </c>
      <c r="I42" s="16" t="n">
        <f aca="false">IF(A42="","",WEEKNUM(A42,2)-WEEKNUM(DATE($B$4,$B$5,1),2)+1)</f>
        <v>5</v>
      </c>
    </row>
    <row r="44" customFormat="false" ht="15" hidden="false" customHeight="false" outlineLevel="0" collapsed="false">
      <c r="A44" s="26" t="s">
        <v>34</v>
      </c>
    </row>
    <row r="45" customFormat="false" ht="15" hidden="false" customHeight="false" outlineLevel="0" collapsed="false">
      <c r="A45" s="6" t="s">
        <v>35</v>
      </c>
    </row>
    <row r="46" customFormat="false" ht="15" hidden="false" customHeight="false" outlineLevel="0" collapsed="false">
      <c r="A46" s="6" t="s">
        <v>36</v>
      </c>
    </row>
    <row r="47" customFormat="false" ht="15" hidden="false" customHeight="false" outlineLevel="0" collapsed="false">
      <c r="A47" s="6" t="s">
        <v>37</v>
      </c>
    </row>
    <row r="48" customFormat="false" ht="15" hidden="false" customHeight="false" outlineLevel="0" collapsed="false">
      <c r="A48" s="5" t="s">
        <v>38</v>
      </c>
    </row>
    <row r="49" customFormat="false" ht="15" hidden="false" customHeight="false" outlineLevel="0" collapsed="false">
      <c r="A49" s="6" t="s">
        <v>39</v>
      </c>
    </row>
    <row r="50" customFormat="false" ht="15" hidden="false" customHeight="false" outlineLevel="0" collapsed="false">
      <c r="A50" s="6" t="s">
        <v>40</v>
      </c>
    </row>
    <row r="51" customFormat="false" ht="15" hidden="false" customHeight="false" outlineLevel="0" collapsed="false">
      <c r="A51" s="6" t="s">
        <v>41</v>
      </c>
    </row>
    <row r="52" customFormat="false" ht="15" hidden="false" customHeight="false" outlineLevel="0" collapsed="false">
      <c r="A52" s="6" t="s">
        <v>42</v>
      </c>
    </row>
  </sheetData>
  <mergeCells count="2">
    <mergeCell ref="A1:I1"/>
    <mergeCell ref="A2:I2"/>
  </mergeCells>
  <dataValidations count="2">
    <dataValidation allowBlank="false" errorStyle="stop" operator="between" showDropDown="false" showErrorMessage="false" showInputMessage="false" sqref="B7" type="list">
      <formula1>"예,아니오"</formula1>
      <formula2>0</formula2>
    </dataValidation>
    <dataValidation allowBlank="false" errorStyle="stop" operator="between" showDropDown="false" showErrorMessage="false" showInputMessage="false" sqref="B8" type="list">
      <formula1>"없음,소득세 3.3%,4대보험 (약 9.4%)"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2026-07-30T08:58:09Z</dcterms:created>
  <dc:creator>openpyxl</dc:creator>
  <dc:description/>
  <dc:language>en-US</dc:language>
  <cp:lastModifiedBy/>
  <dcterms:modified xsi:type="dcterms:W3CDTF">2026-07-30T08:58:09Z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